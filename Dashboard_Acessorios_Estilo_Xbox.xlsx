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https://ifgoias-my.sharepoint.com/personal/carlos_alves_academico_ifg_edu_br/Documents/"/>
    </mc:Choice>
  </mc:AlternateContent>
  <xr:revisionPtr revIDLastSave="3" documentId="8_{76C8ACCC-7719-42CB-B82D-76D9189EC351}" xr6:coauthVersionLast="47" xr6:coauthVersionMax="47" xr10:uidLastSave="{A521745B-FFCA-4B05-BD2C-E0B5D519293B}"/>
  <bookViews>
    <workbookView xWindow="-120" yWindow="-120" windowWidth="29040" windowHeight="15720" tabRatio="44" firstSheet="1" activeTab="1" xr2:uid="{00000000-000D-0000-FFFF-FFFF00000000}"/>
  </bookViews>
  <sheets>
    <sheet name="Calculos" sheetId="10" state="hidden" r:id="rId1"/>
    <sheet name="Dasboard" sheetId="11" r:id="rId2"/>
    <sheet name="Bases" sheetId="1" state="hidden" r:id="rId3"/>
  </sheets>
  <definedNames>
    <definedName name="_xlnm._FilterDatabase" localSheetId="2" hidden="1">Bases!$A$1:$D$37</definedName>
    <definedName name="SegmentaçãodeDados_Mês">#N/A</definedName>
  </definedNames>
  <calcPr calcId="191029"/>
  <pivotCaches>
    <pivotCache cacheId="35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<sst xmlns="http://schemas.openxmlformats.org/spreadsheetml/2006/main" count="91" uniqueCount="20">
  <si>
    <t>Produto</t>
  </si>
  <si>
    <t>Mês</t>
  </si>
  <si>
    <t>Quantidade</t>
  </si>
  <si>
    <t>Faturamento</t>
  </si>
  <si>
    <t>Controle</t>
  </si>
  <si>
    <t>Jan</t>
  </si>
  <si>
    <t>Headset</t>
  </si>
  <si>
    <t>Teclado Gamer</t>
  </si>
  <si>
    <t>Mouse Gamer</t>
  </si>
  <si>
    <t>Cabo HDMI</t>
  </si>
  <si>
    <t>Suporte Console</t>
  </si>
  <si>
    <t>Fev</t>
  </si>
  <si>
    <t>Mar</t>
  </si>
  <si>
    <t>Abr</t>
  </si>
  <si>
    <t>Mai</t>
  </si>
  <si>
    <t>Jun</t>
  </si>
  <si>
    <t>Total Geral</t>
  </si>
  <si>
    <t>Rótulos de Linha</t>
  </si>
  <si>
    <t>Soma de Quantidade</t>
  </si>
  <si>
    <t>Soma de Faturamento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</si>
</sst>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Rockwell"/>
      <family val="2"/>
      <scheme val="minor"/>
    </font>
    <font>
      <sz val="11"/>
      <color theme="1"/>
      <name val="Rockwel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44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NumberFormat="1"/>
    <xf numFmtId="0" fontId="0" fillId="2" borderId="0" xfId="0" applyFill="1"/>
  </cellXfs>
  <cellStyles count="2">
    <cellStyle name="Moeda" xfId="1" builtinId="4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ckwell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[Dashboard_Acessorios_Estilo_Xbox.xlsx]Calculos!Tabela dinâmica8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chemeClr val="accent1"/>
                </a:solidFill>
              </a:rPr>
              <a:t>Total por produto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Calculos!$B$3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Calculos!$A$4:$A$10</c:f>
              <c:strCache>
                <c:ptCount val="6"/>
                <c:pt idx="0">
                  <c:v>Cabo HDMI</c:v>
                </c:pt>
                <c:pt idx="1">
                  <c:v>Controle</c:v>
                </c:pt>
                <c:pt idx="2">
                  <c:v>Headset</c:v>
                </c:pt>
                <c:pt idx="3">
                  <c:v>Mouse Gamer</c:v>
                </c:pt>
                <c:pt idx="4">
                  <c:v>Suporte Console</c:v>
                </c:pt>
                <c:pt idx="5">
                  <c:v>Teclado Gamer</c:v>
                </c:pt>
              </c:strCache>
            </c:strRef>
          </c:cat>
          <c:val>
            <c:numRef>
              <c:f>Calculos!$B$4:$B$10</c:f>
              <c:numCache>
                <c:formatCode>_("R$"* #,##0.00_);_("R$"* \(#,##0.00\);_("R$"* "-"??_);_(@_)</c:formatCode>
                <c:ptCount val="6"/>
                <c:pt idx="0">
                  <c:v>514</c:v>
                </c:pt>
                <c:pt idx="1">
                  <c:v>129</c:v>
                </c:pt>
                <c:pt idx="2">
                  <c:v>396</c:v>
                </c:pt>
                <c:pt idx="3">
                  <c:v>375</c:v>
                </c:pt>
                <c:pt idx="4">
                  <c:v>307</c:v>
                </c:pt>
                <c:pt idx="5">
                  <c:v>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E7-421F-8144-D4DA77D1F2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0627744"/>
        <c:axId val="1470629664"/>
      </c:barChart>
      <c:catAx>
        <c:axId val="1470627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70629664"/>
        <c:crosses val="autoZero"/>
        <c:auto val="1"/>
        <c:lblAlgn val="ctr"/>
        <c:lblOffset val="100"/>
        <c:noMultiLvlLbl val="0"/>
      </c:catAx>
      <c:valAx>
        <c:axId val="1470629664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47062774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[Dashboard_Acessorios_Estilo_Xbox.xlsx]Calculos!Tabela dinâmica9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>
                <a:solidFill>
                  <a:schemeClr val="accent1"/>
                </a:solidFill>
              </a:rPr>
              <a:t>Quantidade/Valor Faturado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Calculos!$D$3</c:f>
              <c:strCache>
                <c:ptCount val="1"/>
                <c:pt idx="0">
                  <c:v>Soma de Quantidade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Calculos!$D$4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Calculos!$D$4</c:f>
              <c:numCache>
                <c:formatCode>General</c:formatCode>
                <c:ptCount val="1"/>
                <c:pt idx="0">
                  <c:v>1729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2F-4AC8-A1AE-4E937119FF6C}"/>
            </c:ext>
          </c:extLst>
        </c:ser>
        <c:ser>
          <c:idx val="1"/>
          <c:order val="1"/>
          <c:tx>
            <c:strRef>
              <c:f>Calculos!$E$3</c:f>
              <c:strCache>
                <c:ptCount val="1"/>
                <c:pt idx="0">
                  <c:v>Soma de Faturamento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Calculos!$D$4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Calculos!$E$4</c:f>
              <c:numCache>
                <c:formatCode>_("R$"* #,##0.00_);_("R$"* \(#,##0.00\);_("R$"* "-"??_);_(@_)</c:formatCode>
                <c:ptCount val="1"/>
                <c:pt idx="0">
                  <c:v>1973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2F-4AC8-A1AE-4E937119FF6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317229808"/>
        <c:axId val="1522109936"/>
      </c:barChart>
      <c:valAx>
        <c:axId val="15221099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17229808"/>
        <c:crosses val="autoZero"/>
        <c:crossBetween val="between"/>
      </c:valAx>
      <c:catAx>
        <c:axId val="131722980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210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[Dashboard_Acessorios_Estilo_Xbox.xlsx]Calculos!Tabela dinâmica10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1"/>
                </a:solidFill>
              </a:rPr>
              <a:t>Total faturamento por mês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ofPieChart>
        <c:ofPieType val="bar"/>
        <c:varyColors val="1"/>
        <c:ser>
          <c:idx val="0"/>
          <c:order val="0"/>
          <c:tx>
            <c:strRef>
              <c:f>Calculos!$H$3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7-9B9B-4B6B-8714-4E87416CC188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9-9B9B-4B6B-8714-4E87416CC1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Calculos!$G$4:$G$5</c:f>
              <c:strCache>
                <c:ptCount val="1"/>
                <c:pt idx="0">
                  <c:v>Jun</c:v>
                </c:pt>
              </c:strCache>
            </c:strRef>
          </c:cat>
          <c:val>
            <c:numRef>
              <c:f>Calculos!$H$4:$H$5</c:f>
              <c:numCache>
                <c:formatCode>_("R$"* #,##0.00_);_("R$"* \(#,##0.00\);_("R$"* "-"??_);_(@_)</c:formatCode>
                <c:ptCount val="1"/>
                <c:pt idx="0">
                  <c:v>1973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B9B-4B6B-8714-4E87416CC18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28575</xdr:colOff>
      <xdr:row>0</xdr:row>
      <xdr:rowOff>57150</xdr:rowOff>
    </xdr:from>
    <xdr:to>
      <xdr:col>46</xdr:col>
      <xdr:colOff>238124</xdr:colOff>
      <xdr:row>40</xdr:row>
      <xdr:rowOff>38100</xdr:rowOff>
    </xdr:to>
    <xdr:grpSp>
      <xdr:nvGrpSpPr>
        <xdr:cNvPr id="8" name="Agrupar 7">
          <a:extLst>
            <a:ext uri="{FF2B5EF4-FFF2-40B4-BE49-F238E27FC236}">
              <a16:creationId xmlns:a16="http://schemas.microsoft.com/office/drawing/2014/main" id="{D13BC186-0893-807D-EF3A-E3CF282518C7}"/>
            </a:ext>
          </a:extLst>
        </xdr:cNvPr>
        <xdr:cNvGrpSpPr/>
      </xdr:nvGrpSpPr>
      <xdr:grpSpPr>
        <a:xfrm>
          <a:off x="28575" y="57150"/>
          <a:ext cx="12477749" cy="7219950"/>
          <a:chOff x="304800" y="152400"/>
          <a:chExt cx="12477749" cy="7219950"/>
        </a:xfrm>
      </xdr:grpSpPr>
      <xdr:graphicFrame macro="">
        <xdr:nvGraphicFramePr>
          <xdr:cNvPr id="2" name="Gráfico 1">
            <a:extLst>
              <a:ext uri="{FF2B5EF4-FFF2-40B4-BE49-F238E27FC236}">
                <a16:creationId xmlns:a16="http://schemas.microsoft.com/office/drawing/2014/main" id="{15FCA46D-3EE2-4EDD-BD55-C0391B059E3C}"/>
              </a:ext>
            </a:extLst>
          </xdr:cNvPr>
          <xdr:cNvGraphicFramePr>
            <a:graphicFrameLocks/>
          </xdr:cNvGraphicFramePr>
        </xdr:nvGraphicFramePr>
        <xdr:xfrm>
          <a:off x="2505074" y="1638300"/>
          <a:ext cx="10277475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mc:AlternateContent xmlns:mc="http://schemas.openxmlformats.org/markup-compatibility/2006">
        <mc:Choice xmlns:a14="http://schemas.microsoft.com/office/drawing/2010/main" Requires="a14">
          <xdr:graphicFrame macro="">
            <xdr:nvGraphicFramePr>
              <xdr:cNvPr id="3" name="Mês">
                <a:extLst>
                  <a:ext uri="{FF2B5EF4-FFF2-40B4-BE49-F238E27FC236}">
                    <a16:creationId xmlns:a16="http://schemas.microsoft.com/office/drawing/2014/main" id="{AFF21F09-CD30-46B5-9A00-4A2AE88EC973}"/>
                  </a:ext>
                </a:extLst>
              </xdr:cNvPr>
              <xdr:cNvGraphicFramePr>
                <a:graphicFrameLocks noChangeAspect="1"/>
              </xdr:cNvGraphicFramePr>
            </xdr:nvGraphicFramePr>
            <xdr:xfrm>
              <a:off x="304800" y="2214563"/>
              <a:ext cx="1828800" cy="2062162"/>
            </xdr:xfrm>
            <a:graphic>
              <a:graphicData uri="http://schemas.microsoft.com/office/drawing/2010/slicer">
                <sle:slicer xmlns:sle="http://schemas.microsoft.com/office/drawing/2010/slicer" name="Mês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28575" y="2119313"/>
                <a:ext cx="1828800" cy="2062162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  <xdr:graphicFrame macro="">
        <xdr:nvGraphicFramePr>
          <xdr:cNvPr id="4" name="Gráfico 3">
            <a:extLst>
              <a:ext uri="{FF2B5EF4-FFF2-40B4-BE49-F238E27FC236}">
                <a16:creationId xmlns:a16="http://schemas.microsoft.com/office/drawing/2014/main" id="{8EEB4D72-BF63-4B7E-AEF5-B388DC67997E}"/>
              </a:ext>
            </a:extLst>
          </xdr:cNvPr>
          <xdr:cNvGraphicFramePr>
            <a:graphicFrameLocks/>
          </xdr:cNvGraphicFramePr>
        </xdr:nvGraphicFramePr>
        <xdr:xfrm>
          <a:off x="7748587" y="4581525"/>
          <a:ext cx="45720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5" name="Gráfico 4">
            <a:extLst>
              <a:ext uri="{FF2B5EF4-FFF2-40B4-BE49-F238E27FC236}">
                <a16:creationId xmlns:a16="http://schemas.microsoft.com/office/drawing/2014/main" id="{4BF6B4A2-9702-46C5-BFFA-759293C1E5CC}"/>
              </a:ext>
            </a:extLst>
          </xdr:cNvPr>
          <xdr:cNvGraphicFramePr>
            <a:graphicFrameLocks/>
          </xdr:cNvGraphicFramePr>
        </xdr:nvGraphicFramePr>
        <xdr:xfrm>
          <a:off x="2205037" y="4629150"/>
          <a:ext cx="45720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6" name="Retângulo: Cantos Arredondados 5">
            <a:extLst>
              <a:ext uri="{FF2B5EF4-FFF2-40B4-BE49-F238E27FC236}">
                <a16:creationId xmlns:a16="http://schemas.microsoft.com/office/drawing/2014/main" id="{271E65A3-A229-5A5B-A01B-6EC54986DA97}"/>
              </a:ext>
            </a:extLst>
          </xdr:cNvPr>
          <xdr:cNvSpPr/>
        </xdr:nvSpPr>
        <xdr:spPr>
          <a:xfrm>
            <a:off x="4610100" y="152400"/>
            <a:ext cx="6781799" cy="1352550"/>
          </a:xfrm>
          <a:prstGeom prst="roundRect">
            <a:avLst/>
          </a:prstGeom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3600" b="1">
                <a:solidFill>
                  <a:schemeClr val="tx2">
                    <a:lumMod val="75000"/>
                  </a:schemeClr>
                </a:solidFill>
              </a:rPr>
              <a:t>Lojinha</a:t>
            </a:r>
            <a:r>
              <a:rPr lang="pt-BR" sz="3600" b="1" baseline="0">
                <a:solidFill>
                  <a:schemeClr val="tx2">
                    <a:lumMod val="75000"/>
                  </a:schemeClr>
                </a:solidFill>
              </a:rPr>
              <a:t> do Karlos</a:t>
            </a:r>
          </a:p>
          <a:p>
            <a:pPr algn="ctr"/>
            <a:r>
              <a:rPr lang="pt-BR" sz="3600" b="1" baseline="0">
                <a:solidFill>
                  <a:schemeClr val="tx2">
                    <a:lumMod val="75000"/>
                  </a:schemeClr>
                </a:solidFill>
              </a:rPr>
              <a:t>Faturamento do ano de 2025</a:t>
            </a:r>
            <a:endParaRPr lang="pt-BR" sz="3600" b="1">
              <a:solidFill>
                <a:schemeClr val="tx2">
                  <a:lumMod val="75000"/>
                </a:schemeClr>
              </a:solidFill>
            </a:endParaRP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os Roberto A. Claro" refreshedDate="46110.662452662036" createdVersion="8" refreshedVersion="8" minRefreshableVersion="3" recordCount="36" xr:uid="{69FBFEBF-1B02-4EF7-98C4-A69004EC051D}">
  <cacheSource type="worksheet">
    <worksheetSource name="Tabela3"/>
  </cacheSource>
  <cacheFields count="4">
    <cacheField name="Produto" numFmtId="0">
      <sharedItems count="6">
        <s v="Controle"/>
        <s v="Headset"/>
        <s v="Teclado Gamer"/>
        <s v="Mouse Gamer"/>
        <s v="Cabo HDMI"/>
        <s v="Suporte Console"/>
      </sharedItems>
    </cacheField>
    <cacheField name="Mês" numFmtId="0">
      <sharedItems count="6">
        <s v="Jan"/>
        <s v="Fev"/>
        <s v="Mar"/>
        <s v="Abr"/>
        <s v="Mai"/>
        <s v="Jun"/>
      </sharedItems>
    </cacheField>
    <cacheField name="Quantidade" numFmtId="0">
      <sharedItems containsSemiMixedTypes="0" containsString="0" containsNumber="1" containsInteger="1" minValue="96" maxValue="387"/>
    </cacheField>
    <cacheField name="Faturamento" numFmtId="44">
      <sharedItems containsSemiMixedTypes="0" containsString="0" containsNumber="1" containsInteger="1" minValue="129" maxValue="586"/>
    </cacheField>
  </cacheFields>
  <extLst>
    <ext xmlns:x14="http://schemas.microsoft.com/office/spreadsheetml/2009/9/main" uri="{725AE2AE-9491-48be-B2B4-4EB974FC3084}">
      <x14:pivotCacheDefinition pivotCacheId="176465317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n v="220"/>
    <n v="581"/>
  </r>
  <r>
    <x v="1"/>
    <x v="0"/>
    <n v="299"/>
    <n v="538"/>
  </r>
  <r>
    <x v="2"/>
    <x v="0"/>
    <n v="121"/>
    <n v="346"/>
  </r>
  <r>
    <x v="3"/>
    <x v="0"/>
    <n v="312"/>
    <n v="571"/>
  </r>
  <r>
    <x v="4"/>
    <x v="0"/>
    <n v="96"/>
    <n v="329"/>
  </r>
  <r>
    <x v="5"/>
    <x v="0"/>
    <n v="152"/>
    <n v="414"/>
  </r>
  <r>
    <x v="0"/>
    <x v="1"/>
    <n v="104"/>
    <n v="488"/>
  </r>
  <r>
    <x v="1"/>
    <x v="1"/>
    <n v="376"/>
    <n v="524"/>
  </r>
  <r>
    <x v="2"/>
    <x v="1"/>
    <n v="179"/>
    <n v="542"/>
  </r>
  <r>
    <x v="3"/>
    <x v="1"/>
    <n v="383"/>
    <n v="499"/>
  </r>
  <r>
    <x v="4"/>
    <x v="1"/>
    <n v="142"/>
    <n v="358"/>
  </r>
  <r>
    <x v="5"/>
    <x v="1"/>
    <n v="294"/>
    <n v="535"/>
  </r>
  <r>
    <x v="0"/>
    <x v="2"/>
    <n v="236"/>
    <n v="350"/>
  </r>
  <r>
    <x v="1"/>
    <x v="2"/>
    <n v="349"/>
    <n v="248"/>
  </r>
  <r>
    <x v="2"/>
    <x v="2"/>
    <n v="199"/>
    <n v="545"/>
  </r>
  <r>
    <x v="3"/>
    <x v="2"/>
    <n v="267"/>
    <n v="133"/>
  </r>
  <r>
    <x v="4"/>
    <x v="2"/>
    <n v="214"/>
    <n v="586"/>
  </r>
  <r>
    <x v="5"/>
    <x v="2"/>
    <n v="155"/>
    <n v="396"/>
  </r>
  <r>
    <x v="0"/>
    <x v="3"/>
    <n v="373"/>
    <n v="282"/>
  </r>
  <r>
    <x v="1"/>
    <x v="3"/>
    <n v="107"/>
    <n v="440"/>
  </r>
  <r>
    <x v="2"/>
    <x v="3"/>
    <n v="371"/>
    <n v="202"/>
  </r>
  <r>
    <x v="3"/>
    <x v="3"/>
    <n v="196"/>
    <n v="454"/>
  </r>
  <r>
    <x v="4"/>
    <x v="3"/>
    <n v="230"/>
    <n v="430"/>
  </r>
  <r>
    <x v="5"/>
    <x v="3"/>
    <n v="327"/>
    <n v="161"/>
  </r>
  <r>
    <x v="0"/>
    <x v="4"/>
    <n v="211"/>
    <n v="498"/>
  </r>
  <r>
    <x v="1"/>
    <x v="4"/>
    <n v="216"/>
    <n v="264"/>
  </r>
  <r>
    <x v="2"/>
    <x v="4"/>
    <n v="129"/>
    <n v="199"/>
  </r>
  <r>
    <x v="3"/>
    <x v="4"/>
    <n v="220"/>
    <n v="275"/>
  </r>
  <r>
    <x v="4"/>
    <x v="4"/>
    <n v="379"/>
    <n v="448"/>
  </r>
  <r>
    <x v="5"/>
    <x v="4"/>
    <n v="122"/>
    <n v="186"/>
  </r>
  <r>
    <x v="0"/>
    <x v="5"/>
    <n v="375"/>
    <n v="129"/>
  </r>
  <r>
    <x v="1"/>
    <x v="5"/>
    <n v="271"/>
    <n v="396"/>
  </r>
  <r>
    <x v="2"/>
    <x v="5"/>
    <n v="272"/>
    <n v="252"/>
  </r>
  <r>
    <x v="3"/>
    <x v="5"/>
    <n v="387"/>
    <n v="375"/>
  </r>
  <r>
    <x v="4"/>
    <x v="5"/>
    <n v="275"/>
    <n v="514"/>
  </r>
  <r>
    <x v="5"/>
    <x v="5"/>
    <n v="149"/>
    <n v="30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FC94BE-E26C-4723-9A2A-3D16E16F7352}" name="Tabela dinâmica10" cacheId="3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G3:H5" firstHeaderRow="1" firstDataRow="1" firstDataCol="1"/>
  <pivotFields count="4">
    <pivotField showAll="0">
      <items count="7">
        <item x="4"/>
        <item x="0"/>
        <item x="1"/>
        <item x="3"/>
        <item x="5"/>
        <item x="2"/>
        <item t="default"/>
      </items>
    </pivotField>
    <pivotField axis="axisRow" showAll="0">
      <items count="7">
        <item h="1" x="0"/>
        <item h="1" x="1"/>
        <item h="1" x="2"/>
        <item h="1" x="3"/>
        <item h="1" x="4"/>
        <item x="5"/>
        <item t="default"/>
      </items>
    </pivotField>
    <pivotField showAll="0"/>
    <pivotField dataField="1" numFmtId="44" showAll="0"/>
  </pivotFields>
  <rowFields count="1">
    <field x="1"/>
  </rowFields>
  <rowItems count="2">
    <i>
      <x v="5"/>
    </i>
    <i t="grand">
      <x/>
    </i>
  </rowItems>
  <colItems count="1">
    <i/>
  </colItems>
  <dataFields count="1">
    <dataField name="Soma de Faturamento" fld="3" baseField="0" baseItem="0" numFmtId="44"/>
  </dataFields>
  <chartFormats count="6"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C5C1FA-57DF-4A34-8CBD-9FC3FEA30A9D}" name="Tabela dinâmica9" cacheId="3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D3:E4" firstHeaderRow="0" firstDataRow="1" firstDataCol="0"/>
  <pivotFields count="4">
    <pivotField showAll="0">
      <items count="7">
        <item x="4"/>
        <item x="0"/>
        <item x="1"/>
        <item x="3"/>
        <item x="5"/>
        <item x="2"/>
        <item t="default"/>
      </items>
    </pivotField>
    <pivotField showAll="0">
      <items count="7">
        <item h="1" x="0"/>
        <item h="1" x="1"/>
        <item h="1" x="2"/>
        <item h="1" x="3"/>
        <item h="1" x="4"/>
        <item x="5"/>
        <item t="default"/>
      </items>
    </pivotField>
    <pivotField dataField="1" showAll="0"/>
    <pivotField dataField="1" numFmtId="44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oma de Quantidade" fld="2" baseField="0" baseItem="0"/>
    <dataField name="Soma de Faturamento" fld="3" baseField="0" baseItem="0" numFmtId="44"/>
  </dataFields>
  <chartFormats count="2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E6E3E6-250A-4232-8A43-170908B284E3}" name="Tabela dinâmica8" cacheId="3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A3:B10" firstHeaderRow="1" firstDataRow="1" firstDataCol="1"/>
  <pivotFields count="4">
    <pivotField axis="axisRow" showAll="0">
      <items count="7">
        <item x="4"/>
        <item x="0"/>
        <item x="1"/>
        <item x="3"/>
        <item x="5"/>
        <item x="2"/>
        <item t="default"/>
      </items>
    </pivotField>
    <pivotField showAll="0">
      <items count="7">
        <item h="1" x="0"/>
        <item h="1" x="1"/>
        <item h="1" x="2"/>
        <item h="1" x="3"/>
        <item h="1" x="4"/>
        <item x="5"/>
        <item t="default"/>
      </items>
    </pivotField>
    <pivotField showAll="0"/>
    <pivotField dataField="1" numFmtId="44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a de Faturamento" fld="3" baseField="0" baseItem="0" numFmtId="44"/>
  </dataField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" xr10:uid="{1287E145-3AEF-4B39-9640-7DCADC3BE3A0}" sourceName="Mês">
  <pivotTables>
    <pivotTable tabId="10" name="Tabela dinâmica8"/>
    <pivotTable tabId="10" name="Tabela dinâmica10"/>
    <pivotTable tabId="10" name="Tabela dinâmica9"/>
  </pivotTables>
  <data>
    <tabular pivotCacheId="1764653171" sortOrder="descending">
      <items count="6">
        <i x="5" s="1"/>
        <i x="4"/>
        <i x="3"/>
        <i x="2"/>
        <i x="1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" xr10:uid="{ABF13520-1216-45C8-A128-A54A26E623CB}" cache="SegmentaçãodeDados_Mês" caption="Mês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D22CD6B-59B6-4A00-9731-A47569678BF3}" name="Tabela3" displayName="Tabela3" ref="A1:D37" totalsRowShown="0">
  <autoFilter ref="A1:D37" xr:uid="{00000000-0001-0000-0000-000000000000}"/>
  <tableColumns count="4">
    <tableColumn id="1" xr3:uid="{23BE701D-D297-4678-AE39-8100FE1D0618}" name="Produto"/>
    <tableColumn id="2" xr3:uid="{8BB6C0EC-B563-4C27-9F05-9C90342C688F}" name="Mês"/>
    <tableColumn id="3" xr3:uid="{2F01315B-1607-49EB-B0A6-E154D8516739}" name="Quantidade"/>
    <tableColumn id="4" xr3:uid="{C25EAE6E-FFB5-4716-9F06-94BBBD3EEA52}" name="Faturamento" dataDxfId="0" dataCellStyle="Moeda"/>
  </tableColumns>
  <tableStyleInfo name="TableStyleMedium9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Damask">
  <a:themeElements>
    <a:clrScheme name="Damask">
      <a:dk1>
        <a:sysClr val="windowText" lastClr="000000"/>
      </a:dk1>
      <a:lt1>
        <a:sysClr val="window" lastClr="FFFFFF"/>
      </a:lt1>
      <a:dk2>
        <a:srgbClr val="2A5B7F"/>
      </a:dk2>
      <a:lt2>
        <a:srgbClr val="ABDAFC"/>
      </a:lt2>
      <a:accent1>
        <a:srgbClr val="9EC544"/>
      </a:accent1>
      <a:accent2>
        <a:srgbClr val="50BEA3"/>
      </a:accent2>
      <a:accent3>
        <a:srgbClr val="4A9CCC"/>
      </a:accent3>
      <a:accent4>
        <a:srgbClr val="9A66CA"/>
      </a:accent4>
      <a:accent5>
        <a:srgbClr val="C54F71"/>
      </a:accent5>
      <a:accent6>
        <a:srgbClr val="DE9C3C"/>
      </a:accent6>
      <a:hlink>
        <a:srgbClr val="6BA9DA"/>
      </a:hlink>
      <a:folHlink>
        <a:srgbClr val="A0BCD3"/>
      </a:folHlink>
    </a:clrScheme>
    <a:fontScheme name="Damask">
      <a:majorFont>
        <a:latin typeface="Bookman Old Style" panose="02050604050505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Rockwell" panose="020606030202050204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Damask">
      <a:fillStyleLst>
        <a:solidFill>
          <a:schemeClr val="phClr"/>
        </a:solidFill>
        <a:gradFill rotWithShape="1">
          <a:gsLst>
            <a:gs pos="0">
              <a:schemeClr val="phClr">
                <a:tint val="48000"/>
                <a:satMod val="105000"/>
                <a:lumMod val="110000"/>
              </a:schemeClr>
            </a:gs>
            <a:gs pos="100000">
              <a:schemeClr val="phClr">
                <a:tint val="78000"/>
                <a:satMod val="109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0000"/>
                <a:lumMod val="104000"/>
              </a:schemeClr>
            </a:gs>
            <a:gs pos="69000">
              <a:schemeClr val="phClr">
                <a:shade val="86000"/>
                <a:satMod val="130000"/>
                <a:lumMod val="102000"/>
              </a:schemeClr>
            </a:gs>
            <a:gs pos="100000">
              <a:schemeClr val="phClr">
                <a:shade val="72000"/>
                <a:satMod val="130000"/>
                <a:lumMod val="100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38100" dir="5400000" sy="96000" rotWithShape="0">
              <a:srgbClr val="000000">
                <a:alpha val="54000"/>
              </a:srgbClr>
            </a:outerShdw>
          </a:effectLst>
        </a:effectStyle>
        <a:effectStyle>
          <a:effectLst>
            <a:outerShdw blurRad="76200" dist="38100" dir="5400000" algn="ctr" rotWithShape="0">
              <a:srgbClr val="000000">
                <a:alpha val="76000"/>
              </a:srgbClr>
            </a:outerShdw>
          </a:effectLst>
          <a:scene3d>
            <a:camera prst="orthographicFront">
              <a:rot lat="0" lon="0" rev="0"/>
            </a:camera>
            <a:lightRig rig="balanced" dir="t"/>
          </a:scene3d>
          <a:sp3d prstMaterial="matte">
            <a:bevelT w="25400" h="25400" prst="relaxedInset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shade val="18000"/>
                <a:satMod val="160000"/>
                <a:lumMod val="28000"/>
              </a:schemeClr>
              <a:schemeClr val="phClr">
                <a:tint val="95000"/>
                <a:satMod val="160000"/>
                <a:lumMod val="116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amask" id="{F9A299A0-33D0-4E0F-9F3F-7163E3744208}" vid="{746EEEEA-FB6A-406B-B510-531588D54811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35887-7582-4BD9-89DF-E522127E3716}">
  <dimension ref="A3:H10"/>
  <sheetViews>
    <sheetView workbookViewId="0">
      <selection activeCell="C5" sqref="C5"/>
    </sheetView>
  </sheetViews>
  <sheetFormatPr defaultRowHeight="14.25" x14ac:dyDescent="0.2"/>
  <cols>
    <col min="1" max="1" width="18.5" bestFit="1" customWidth="1"/>
    <col min="2" max="2" width="21.625" bestFit="1" customWidth="1"/>
    <col min="4" max="4" width="20.25" bestFit="1" customWidth="1"/>
    <col min="5" max="5" width="21.625" bestFit="1" customWidth="1"/>
    <col min="7" max="7" width="18.5" bestFit="1" customWidth="1"/>
    <col min="8" max="8" width="21.625" bestFit="1" customWidth="1"/>
  </cols>
  <sheetData>
    <row r="3" spans="1:8" x14ac:dyDescent="0.2">
      <c r="A3" s="2" t="s">
        <v>17</v>
      </c>
      <c r="B3" t="s">
        <v>19</v>
      </c>
      <c r="D3" t="s">
        <v>18</v>
      </c>
      <c r="E3" t="s">
        <v>19</v>
      </c>
      <c r="G3" s="2" t="s">
        <v>17</v>
      </c>
      <c r="H3" t="s">
        <v>19</v>
      </c>
    </row>
    <row r="4" spans="1:8" x14ac:dyDescent="0.2">
      <c r="A4" s="3" t="s">
        <v>9</v>
      </c>
      <c r="B4" s="4">
        <v>514</v>
      </c>
      <c r="D4" s="5">
        <v>1729</v>
      </c>
      <c r="E4" s="4">
        <v>1973</v>
      </c>
      <c r="G4" s="3" t="s">
        <v>15</v>
      </c>
      <c r="H4" s="4">
        <v>1973</v>
      </c>
    </row>
    <row r="5" spans="1:8" x14ac:dyDescent="0.2">
      <c r="A5" s="3" t="s">
        <v>4</v>
      </c>
      <c r="B5" s="4">
        <v>129</v>
      </c>
      <c r="G5" s="3" t="s">
        <v>16</v>
      </c>
      <c r="H5" s="4">
        <v>1973</v>
      </c>
    </row>
    <row r="6" spans="1:8" x14ac:dyDescent="0.2">
      <c r="A6" s="3" t="s">
        <v>6</v>
      </c>
      <c r="B6" s="4">
        <v>396</v>
      </c>
    </row>
    <row r="7" spans="1:8" x14ac:dyDescent="0.2">
      <c r="A7" s="3" t="s">
        <v>8</v>
      </c>
      <c r="B7" s="4">
        <v>375</v>
      </c>
    </row>
    <row r="8" spans="1:8" x14ac:dyDescent="0.2">
      <c r="A8" s="3" t="s">
        <v>10</v>
      </c>
      <c r="B8" s="4">
        <v>307</v>
      </c>
    </row>
    <row r="9" spans="1:8" x14ac:dyDescent="0.2">
      <c r="A9" s="3" t="s">
        <v>7</v>
      </c>
      <c r="B9" s="4">
        <v>252</v>
      </c>
    </row>
    <row r="10" spans="1:8" x14ac:dyDescent="0.2">
      <c r="A10" s="3" t="s">
        <v>16</v>
      </c>
      <c r="B10" s="4">
        <v>1973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E0826-5DA6-4BC7-AA9C-99FCC080CB65}">
  <dimension ref="A1:CE46"/>
  <sheetViews>
    <sheetView tabSelected="1" topLeftCell="A4" workbookViewId="0">
      <selection activeCell="AZ27" sqref="AZ27"/>
    </sheetView>
  </sheetViews>
  <sheetFormatPr defaultColWidth="3.5" defaultRowHeight="14.25" x14ac:dyDescent="0.2"/>
  <sheetData>
    <row r="1" spans="1:83" x14ac:dyDescent="0.2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</row>
    <row r="2" spans="1:83" x14ac:dyDescent="0.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</row>
    <row r="3" spans="1:83" x14ac:dyDescent="0.2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</row>
    <row r="4" spans="1:83" x14ac:dyDescent="0.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</row>
    <row r="5" spans="1:83" x14ac:dyDescent="0.2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</row>
    <row r="6" spans="1:83" x14ac:dyDescent="0.2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</row>
    <row r="7" spans="1:83" x14ac:dyDescent="0.2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</row>
    <row r="8" spans="1:83" x14ac:dyDescent="0.2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</row>
    <row r="9" spans="1:83" x14ac:dyDescent="0.2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</row>
    <row r="10" spans="1:83" x14ac:dyDescent="0.2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</row>
    <row r="11" spans="1:83" x14ac:dyDescent="0.2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</row>
    <row r="12" spans="1:83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</row>
    <row r="13" spans="1:83" x14ac:dyDescent="0.2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</row>
    <row r="14" spans="1:83" x14ac:dyDescent="0.2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</row>
    <row r="15" spans="1:83" x14ac:dyDescent="0.2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</row>
    <row r="16" spans="1:83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</row>
    <row r="17" spans="1:83" x14ac:dyDescent="0.2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</row>
    <row r="18" spans="1:83" x14ac:dyDescent="0.2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</row>
    <row r="19" spans="1:83" x14ac:dyDescent="0.2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</row>
    <row r="20" spans="1:83" x14ac:dyDescent="0.2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</row>
    <row r="21" spans="1:83" x14ac:dyDescent="0.2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</row>
    <row r="22" spans="1:83" x14ac:dyDescent="0.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</row>
    <row r="23" spans="1:83" x14ac:dyDescent="0.2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</row>
    <row r="24" spans="1:83" x14ac:dyDescent="0.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</row>
    <row r="25" spans="1:83" x14ac:dyDescent="0.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</row>
    <row r="26" spans="1:83" x14ac:dyDescent="0.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</row>
    <row r="27" spans="1:83" x14ac:dyDescent="0.2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</row>
    <row r="28" spans="1:83" x14ac:dyDescent="0.2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</row>
    <row r="29" spans="1:83" x14ac:dyDescent="0.2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</row>
    <row r="30" spans="1:83" x14ac:dyDescent="0.2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</row>
    <row r="31" spans="1:83" x14ac:dyDescent="0.2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</row>
    <row r="32" spans="1:83" x14ac:dyDescent="0.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</row>
    <row r="33" spans="1:83" x14ac:dyDescent="0.2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</row>
    <row r="34" spans="1:83" x14ac:dyDescent="0.2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</row>
    <row r="35" spans="1:83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</row>
    <row r="36" spans="1:83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</row>
    <row r="37" spans="1:83" x14ac:dyDescent="0.2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</row>
    <row r="38" spans="1:83" x14ac:dyDescent="0.2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</row>
    <row r="39" spans="1:83" x14ac:dyDescent="0.2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</row>
    <row r="40" spans="1:83" x14ac:dyDescent="0.2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</row>
    <row r="41" spans="1:83" x14ac:dyDescent="0.2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</row>
    <row r="42" spans="1:83" x14ac:dyDescent="0.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</row>
    <row r="43" spans="1:83" x14ac:dyDescent="0.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</row>
    <row r="44" spans="1:83" x14ac:dyDescent="0.2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</row>
    <row r="45" spans="1:83" x14ac:dyDescent="0.2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</row>
    <row r="46" spans="1:83" x14ac:dyDescent="0.2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workbookViewId="0">
      <selection activeCell="E2" sqref="E2"/>
    </sheetView>
  </sheetViews>
  <sheetFormatPr defaultRowHeight="14.25" x14ac:dyDescent="0.2"/>
  <cols>
    <col min="1" max="1" width="15.625" customWidth="1"/>
    <col min="3" max="3" width="13.5" customWidth="1"/>
    <col min="4" max="4" width="16.25" style="1" customWidth="1"/>
  </cols>
  <sheetData>
    <row r="1" spans="1:4" x14ac:dyDescent="0.2">
      <c r="A1" t="s">
        <v>0</v>
      </c>
      <c r="B1" t="s">
        <v>1</v>
      </c>
      <c r="C1" t="s">
        <v>2</v>
      </c>
      <c r="D1" s="1" t="s">
        <v>3</v>
      </c>
    </row>
    <row r="2" spans="1:4" x14ac:dyDescent="0.2">
      <c r="A2" t="s">
        <v>4</v>
      </c>
      <c r="B2" t="s">
        <v>5</v>
      </c>
      <c r="C2">
        <v>220</v>
      </c>
      <c r="D2" s="1">
        <v>581</v>
      </c>
    </row>
    <row r="3" spans="1:4" x14ac:dyDescent="0.2">
      <c r="A3" t="s">
        <v>6</v>
      </c>
      <c r="B3" t="s">
        <v>5</v>
      </c>
      <c r="C3">
        <v>299</v>
      </c>
      <c r="D3" s="1">
        <v>538</v>
      </c>
    </row>
    <row r="4" spans="1:4" x14ac:dyDescent="0.2">
      <c r="A4" t="s">
        <v>7</v>
      </c>
      <c r="B4" t="s">
        <v>5</v>
      </c>
      <c r="C4">
        <v>121</v>
      </c>
      <c r="D4" s="1">
        <v>346</v>
      </c>
    </row>
    <row r="5" spans="1:4" x14ac:dyDescent="0.2">
      <c r="A5" t="s">
        <v>8</v>
      </c>
      <c r="B5" t="s">
        <v>5</v>
      </c>
      <c r="C5">
        <v>312</v>
      </c>
      <c r="D5" s="1">
        <v>571</v>
      </c>
    </row>
    <row r="6" spans="1:4" x14ac:dyDescent="0.2">
      <c r="A6" t="s">
        <v>9</v>
      </c>
      <c r="B6" t="s">
        <v>5</v>
      </c>
      <c r="C6">
        <v>96</v>
      </c>
      <c r="D6" s="1">
        <v>329</v>
      </c>
    </row>
    <row r="7" spans="1:4" x14ac:dyDescent="0.2">
      <c r="A7" t="s">
        <v>10</v>
      </c>
      <c r="B7" t="s">
        <v>5</v>
      </c>
      <c r="C7">
        <v>152</v>
      </c>
      <c r="D7" s="1">
        <v>414</v>
      </c>
    </row>
    <row r="8" spans="1:4" x14ac:dyDescent="0.2">
      <c r="A8" t="s">
        <v>4</v>
      </c>
      <c r="B8" t="s">
        <v>11</v>
      </c>
      <c r="C8">
        <v>104</v>
      </c>
      <c r="D8" s="1">
        <v>488</v>
      </c>
    </row>
    <row r="9" spans="1:4" x14ac:dyDescent="0.2">
      <c r="A9" t="s">
        <v>6</v>
      </c>
      <c r="B9" t="s">
        <v>11</v>
      </c>
      <c r="C9">
        <v>376</v>
      </c>
      <c r="D9" s="1">
        <v>524</v>
      </c>
    </row>
    <row r="10" spans="1:4" x14ac:dyDescent="0.2">
      <c r="A10" t="s">
        <v>7</v>
      </c>
      <c r="B10" t="s">
        <v>11</v>
      </c>
      <c r="C10">
        <v>179</v>
      </c>
      <c r="D10" s="1">
        <v>542</v>
      </c>
    </row>
    <row r="11" spans="1:4" x14ac:dyDescent="0.2">
      <c r="A11" t="s">
        <v>8</v>
      </c>
      <c r="B11" t="s">
        <v>11</v>
      </c>
      <c r="C11">
        <v>383</v>
      </c>
      <c r="D11" s="1">
        <v>499</v>
      </c>
    </row>
    <row r="12" spans="1:4" x14ac:dyDescent="0.2">
      <c r="A12" t="s">
        <v>9</v>
      </c>
      <c r="B12" t="s">
        <v>11</v>
      </c>
      <c r="C12">
        <v>142</v>
      </c>
      <c r="D12" s="1">
        <v>358</v>
      </c>
    </row>
    <row r="13" spans="1:4" x14ac:dyDescent="0.2">
      <c r="A13" t="s">
        <v>10</v>
      </c>
      <c r="B13" t="s">
        <v>11</v>
      </c>
      <c r="C13">
        <v>294</v>
      </c>
      <c r="D13" s="1">
        <v>535</v>
      </c>
    </row>
    <row r="14" spans="1:4" x14ac:dyDescent="0.2">
      <c r="A14" t="s">
        <v>4</v>
      </c>
      <c r="B14" t="s">
        <v>12</v>
      </c>
      <c r="C14">
        <v>236</v>
      </c>
      <c r="D14" s="1">
        <v>350</v>
      </c>
    </row>
    <row r="15" spans="1:4" x14ac:dyDescent="0.2">
      <c r="A15" t="s">
        <v>6</v>
      </c>
      <c r="B15" t="s">
        <v>12</v>
      </c>
      <c r="C15">
        <v>349</v>
      </c>
      <c r="D15" s="1">
        <v>248</v>
      </c>
    </row>
    <row r="16" spans="1:4" x14ac:dyDescent="0.2">
      <c r="A16" t="s">
        <v>7</v>
      </c>
      <c r="B16" t="s">
        <v>12</v>
      </c>
      <c r="C16">
        <v>199</v>
      </c>
      <c r="D16" s="1">
        <v>545</v>
      </c>
    </row>
    <row r="17" spans="1:4" x14ac:dyDescent="0.2">
      <c r="A17" t="s">
        <v>8</v>
      </c>
      <c r="B17" t="s">
        <v>12</v>
      </c>
      <c r="C17">
        <v>267</v>
      </c>
      <c r="D17" s="1">
        <v>133</v>
      </c>
    </row>
    <row r="18" spans="1:4" x14ac:dyDescent="0.2">
      <c r="A18" t="s">
        <v>9</v>
      </c>
      <c r="B18" t="s">
        <v>12</v>
      </c>
      <c r="C18">
        <v>214</v>
      </c>
      <c r="D18" s="1">
        <v>586</v>
      </c>
    </row>
    <row r="19" spans="1:4" x14ac:dyDescent="0.2">
      <c r="A19" t="s">
        <v>10</v>
      </c>
      <c r="B19" t="s">
        <v>12</v>
      </c>
      <c r="C19">
        <v>155</v>
      </c>
      <c r="D19" s="1">
        <v>396</v>
      </c>
    </row>
    <row r="20" spans="1:4" x14ac:dyDescent="0.2">
      <c r="A20" t="s">
        <v>4</v>
      </c>
      <c r="B20" t="s">
        <v>13</v>
      </c>
      <c r="C20">
        <v>373</v>
      </c>
      <c r="D20" s="1">
        <v>282</v>
      </c>
    </row>
    <row r="21" spans="1:4" x14ac:dyDescent="0.2">
      <c r="A21" t="s">
        <v>6</v>
      </c>
      <c r="B21" t="s">
        <v>13</v>
      </c>
      <c r="C21">
        <v>107</v>
      </c>
      <c r="D21" s="1">
        <v>440</v>
      </c>
    </row>
    <row r="22" spans="1:4" x14ac:dyDescent="0.2">
      <c r="A22" t="s">
        <v>7</v>
      </c>
      <c r="B22" t="s">
        <v>13</v>
      </c>
      <c r="C22">
        <v>371</v>
      </c>
      <c r="D22" s="1">
        <v>202</v>
      </c>
    </row>
    <row r="23" spans="1:4" x14ac:dyDescent="0.2">
      <c r="A23" t="s">
        <v>8</v>
      </c>
      <c r="B23" t="s">
        <v>13</v>
      </c>
      <c r="C23">
        <v>196</v>
      </c>
      <c r="D23" s="1">
        <v>454</v>
      </c>
    </row>
    <row r="24" spans="1:4" x14ac:dyDescent="0.2">
      <c r="A24" t="s">
        <v>9</v>
      </c>
      <c r="B24" t="s">
        <v>13</v>
      </c>
      <c r="C24">
        <v>230</v>
      </c>
      <c r="D24" s="1">
        <v>430</v>
      </c>
    </row>
    <row r="25" spans="1:4" x14ac:dyDescent="0.2">
      <c r="A25" t="s">
        <v>10</v>
      </c>
      <c r="B25" t="s">
        <v>13</v>
      </c>
      <c r="C25">
        <v>327</v>
      </c>
      <c r="D25" s="1">
        <v>161</v>
      </c>
    </row>
    <row r="26" spans="1:4" x14ac:dyDescent="0.2">
      <c r="A26" t="s">
        <v>4</v>
      </c>
      <c r="B26" t="s">
        <v>14</v>
      </c>
      <c r="C26">
        <v>211</v>
      </c>
      <c r="D26" s="1">
        <v>498</v>
      </c>
    </row>
    <row r="27" spans="1:4" x14ac:dyDescent="0.2">
      <c r="A27" t="s">
        <v>6</v>
      </c>
      <c r="B27" t="s">
        <v>14</v>
      </c>
      <c r="C27">
        <v>216</v>
      </c>
      <c r="D27" s="1">
        <v>264</v>
      </c>
    </row>
    <row r="28" spans="1:4" x14ac:dyDescent="0.2">
      <c r="A28" t="s">
        <v>7</v>
      </c>
      <c r="B28" t="s">
        <v>14</v>
      </c>
      <c r="C28">
        <v>129</v>
      </c>
      <c r="D28" s="1">
        <v>199</v>
      </c>
    </row>
    <row r="29" spans="1:4" x14ac:dyDescent="0.2">
      <c r="A29" t="s">
        <v>8</v>
      </c>
      <c r="B29" t="s">
        <v>14</v>
      </c>
      <c r="C29">
        <v>220</v>
      </c>
      <c r="D29" s="1">
        <v>275</v>
      </c>
    </row>
    <row r="30" spans="1:4" x14ac:dyDescent="0.2">
      <c r="A30" t="s">
        <v>9</v>
      </c>
      <c r="B30" t="s">
        <v>14</v>
      </c>
      <c r="C30">
        <v>379</v>
      </c>
      <c r="D30" s="1">
        <v>448</v>
      </c>
    </row>
    <row r="31" spans="1:4" x14ac:dyDescent="0.2">
      <c r="A31" t="s">
        <v>10</v>
      </c>
      <c r="B31" t="s">
        <v>14</v>
      </c>
      <c r="C31">
        <v>122</v>
      </c>
      <c r="D31" s="1">
        <v>186</v>
      </c>
    </row>
    <row r="32" spans="1:4" x14ac:dyDescent="0.2">
      <c r="A32" t="s">
        <v>4</v>
      </c>
      <c r="B32" t="s">
        <v>15</v>
      </c>
      <c r="C32">
        <v>375</v>
      </c>
      <c r="D32" s="1">
        <v>129</v>
      </c>
    </row>
    <row r="33" spans="1:4" x14ac:dyDescent="0.2">
      <c r="A33" t="s">
        <v>6</v>
      </c>
      <c r="B33" t="s">
        <v>15</v>
      </c>
      <c r="C33">
        <v>271</v>
      </c>
      <c r="D33" s="1">
        <v>396</v>
      </c>
    </row>
    <row r="34" spans="1:4" x14ac:dyDescent="0.2">
      <c r="A34" t="s">
        <v>7</v>
      </c>
      <c r="B34" t="s">
        <v>15</v>
      </c>
      <c r="C34">
        <v>272</v>
      </c>
      <c r="D34" s="1">
        <v>252</v>
      </c>
    </row>
    <row r="35" spans="1:4" x14ac:dyDescent="0.2">
      <c r="A35" t="s">
        <v>8</v>
      </c>
      <c r="B35" t="s">
        <v>15</v>
      </c>
      <c r="C35">
        <v>387</v>
      </c>
      <c r="D35" s="1">
        <v>375</v>
      </c>
    </row>
    <row r="36" spans="1:4" x14ac:dyDescent="0.2">
      <c r="A36" t="s">
        <v>9</v>
      </c>
      <c r="B36" t="s">
        <v>15</v>
      </c>
      <c r="C36">
        <v>275</v>
      </c>
      <c r="D36" s="1">
        <v>514</v>
      </c>
    </row>
    <row r="37" spans="1:4" x14ac:dyDescent="0.2">
      <c r="A37" t="s">
        <v>10</v>
      </c>
      <c r="B37" t="s">
        <v>15</v>
      </c>
      <c r="C37">
        <v>149</v>
      </c>
      <c r="D37" s="1">
        <v>307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Calculos</vt:lpstr>
      <vt:lpstr>Dasboard</vt:lpstr>
      <vt:lpstr>Bases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Roberto Alves Claro</cp:lastModifiedBy>
  <dcterms:created xsi:type="dcterms:W3CDTF">2026-03-28T17:58:33Z</dcterms:created>
  <dcterms:modified xsi:type="dcterms:W3CDTF">2026-03-29T19:48:44Z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2026-03-29T03:54:40Z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be3280ca-edda-48fd-b3aa-e977fa4fce73</vt:lpwstr>
  </property>
  <property fmtid="{D5CDD505-2E9C-101B-9397-08002B2CF9AE}" pid="7" name="MSIP_Label_defa4170-0d19-0005-0004-bc88714345d2_ActionId">
    <vt:lpwstr>cb3be5fa-63c0-402d-aa4d-7caa1ef0b3ed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